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<sst xmlns="http://schemas.openxmlformats.org/spreadsheetml/2006/main" count="41" uniqueCount="18">
  <si>
    <t>n = 8</t>
  </si>
  <si>
    <t>n = 6</t>
  </si>
  <si>
    <t>n = 4</t>
  </si>
  <si>
    <t>Merge</t>
  </si>
  <si>
    <t>Quick</t>
  </si>
  <si>
    <t>Heap</t>
  </si>
  <si>
    <t>Shaker</t>
  </si>
  <si>
    <t>Seed 1</t>
  </si>
  <si>
    <t>Seed 2</t>
  </si>
  <si>
    <t>Seed 3</t>
  </si>
  <si>
    <t>Mean</t>
  </si>
  <si>
    <t>Standard Deviation</t>
  </si>
  <si>
    <t>Relative Variability</t>
  </si>
  <si>
    <t>8 to 6</t>
  </si>
  <si>
    <t>6 to 4</t>
  </si>
  <si>
    <t>8 to 4</t>
  </si>
  <si>
    <t>Mean Growth Ratio</t>
  </si>
  <si>
    <t>Comparisons per Element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</si>
</sst>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1" numFmtId="0" xfId="0" applyFont="1"/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horizontal="center" readingOrder="0" textRotation="90" vertical="center"/>
    </xf>
    <xf borderId="0" fillId="7" fontId="1" numFmtId="0" xfId="0" applyAlignment="1" applyFill="1" applyFont="1">
      <alignment horizontal="center" readingOrder="0" textRotation="90" vertical="center"/>
    </xf>
    <xf borderId="0" fillId="8" fontId="1" numFmtId="0" xfId="0" applyAlignment="1" applyFill="1" applyFont="1">
      <alignment horizontal="center" readingOrder="0" textRotation="90" vertical="center"/>
    </xf>
    <xf borderId="0" fillId="9" fontId="1" numFmtId="0" xfId="0" applyAlignment="1" applyFill="1" applyFont="1">
      <alignment horizontal="center" readingOrder="0"/>
    </xf>
    <xf borderId="0" fillId="9" fontId="1" numFmtId="0" xfId="0" applyFont="1"/>
    <xf borderId="0" fillId="9" fontId="1" numFmtId="0" xfId="0" applyAlignment="1" applyFont="1">
      <alignment readingOrder="0"/>
    </xf>
    <xf borderId="0" fillId="0" fontId="1" numFmtId="2" xfId="0" applyFont="1" applyNumberFormat="1"/>
    <xf borderId="0" fillId="9" fontId="1" numFmtId="0" xfId="0" applyAlignment="1" applyFont="1">
      <alignment readingOrder="0" shrinkToFit="0" wrapText="1"/>
    </xf>
    <xf borderId="0" fillId="0" fontId="1" numFmtId="2" xfId="0" applyAlignment="1" applyFont="1" applyNumberFormat="1">
      <alignment readingOrder="0"/>
    </xf>
    <xf borderId="0" fillId="9" fontId="1" numFmtId="2" xfId="0" applyFont="1" applyNumberFormat="1"/>
    <xf borderId="0" fillId="9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5.75"/>
    <col customWidth="1" min="3" max="3" width="5.25"/>
    <col customWidth="1" min="4" max="4" width="5.0"/>
    <col customWidth="1" min="5" max="5" width="6.25"/>
    <col customWidth="1" min="6" max="6" width="4.63"/>
    <col customWidth="1" min="7" max="7" width="5.75"/>
    <col customWidth="1" min="8" max="8" width="5.25"/>
    <col customWidth="1" min="9" max="9" width="5.0"/>
    <col customWidth="1" min="10" max="10" width="6.25"/>
    <col customWidth="1" min="11" max="11" width="4.63"/>
    <col customWidth="1" min="12" max="12" width="5.75"/>
    <col customWidth="1" min="13" max="13" width="5.25"/>
    <col customWidth="1" min="14" max="14" width="5.0"/>
    <col customWidth="1" min="15" max="15" width="6.25"/>
    <col customWidth="1" min="16" max="16" width="4.63"/>
  </cols>
  <sheetData>
    <row r="1">
      <c r="A1" s="1"/>
      <c r="B1" s="2" t="s">
        <v>0</v>
      </c>
      <c r="F1" s="3"/>
      <c r="G1" s="4" t="s">
        <v>1</v>
      </c>
      <c r="K1" s="3"/>
      <c r="L1" s="5" t="s">
        <v>2</v>
      </c>
      <c r="P1" s="3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3"/>
      <c r="G2" s="7" t="s">
        <v>3</v>
      </c>
      <c r="H2" s="7" t="s">
        <v>4</v>
      </c>
      <c r="I2" s="7" t="s">
        <v>5</v>
      </c>
      <c r="J2" s="7" t="s">
        <v>6</v>
      </c>
      <c r="K2" s="3"/>
      <c r="L2" s="7" t="s">
        <v>3</v>
      </c>
      <c r="M2" s="7" t="s">
        <v>4</v>
      </c>
      <c r="N2" s="7" t="s">
        <v>5</v>
      </c>
      <c r="O2" s="7" t="s">
        <v>6</v>
      </c>
      <c r="P2" s="3"/>
    </row>
    <row r="3">
      <c r="A3" s="8" t="s">
        <v>7</v>
      </c>
      <c r="B3" s="7">
        <v>16.0</v>
      </c>
      <c r="C3" s="7">
        <v>27.0</v>
      </c>
      <c r="D3" s="7">
        <v>26.0</v>
      </c>
      <c r="E3" s="7">
        <v>25.0</v>
      </c>
      <c r="F3" s="3"/>
      <c r="G3" s="7">
        <v>8.0</v>
      </c>
      <c r="H3" s="7">
        <v>25.0</v>
      </c>
      <c r="I3" s="7">
        <v>15.0</v>
      </c>
      <c r="J3" s="7">
        <v>14.0</v>
      </c>
      <c r="K3" s="3"/>
      <c r="L3" s="7">
        <v>5.0</v>
      </c>
      <c r="M3" s="7">
        <v>10.0</v>
      </c>
      <c r="N3" s="7">
        <v>6.0</v>
      </c>
      <c r="O3" s="7">
        <v>6.0</v>
      </c>
      <c r="P3" s="3"/>
    </row>
    <row r="4">
      <c r="B4" s="7">
        <v>15.0</v>
      </c>
      <c r="C4" s="7">
        <v>29.0</v>
      </c>
      <c r="D4" s="7">
        <v>27.0</v>
      </c>
      <c r="E4" s="7">
        <v>22.0</v>
      </c>
      <c r="F4" s="3"/>
      <c r="G4" s="7">
        <v>9.0</v>
      </c>
      <c r="H4" s="7">
        <v>18.0</v>
      </c>
      <c r="I4" s="7">
        <v>16.0</v>
      </c>
      <c r="J4" s="7">
        <v>15.0</v>
      </c>
      <c r="K4" s="3"/>
      <c r="L4" s="7">
        <v>5.0</v>
      </c>
      <c r="M4" s="7">
        <v>12.0</v>
      </c>
      <c r="N4" s="7">
        <v>7.0</v>
      </c>
      <c r="O4" s="7">
        <v>6.0</v>
      </c>
      <c r="P4" s="3"/>
    </row>
    <row r="5">
      <c r="B5" s="7">
        <v>17.0</v>
      </c>
      <c r="C5" s="7">
        <v>25.0</v>
      </c>
      <c r="D5" s="7">
        <v>27.0</v>
      </c>
      <c r="E5" s="7">
        <v>25.0</v>
      </c>
      <c r="F5" s="3"/>
      <c r="G5" s="7">
        <v>10.0</v>
      </c>
      <c r="H5" s="7">
        <v>18.0</v>
      </c>
      <c r="I5" s="7">
        <v>17.0</v>
      </c>
      <c r="J5" s="7">
        <v>14.0</v>
      </c>
      <c r="K5" s="3"/>
      <c r="L5" s="7">
        <v>5.0</v>
      </c>
      <c r="M5" s="7">
        <v>15.0</v>
      </c>
      <c r="N5" s="7">
        <v>6.0</v>
      </c>
      <c r="O5" s="7">
        <v>6.0</v>
      </c>
      <c r="P5" s="3"/>
    </row>
    <row r="6">
      <c r="B6" s="7">
        <v>16.0</v>
      </c>
      <c r="C6" s="7">
        <v>38.0</v>
      </c>
      <c r="D6" s="7">
        <v>25.0</v>
      </c>
      <c r="E6" s="7">
        <v>25.0</v>
      </c>
      <c r="F6" s="3"/>
      <c r="G6" s="7">
        <v>10.0</v>
      </c>
      <c r="H6" s="7">
        <v>19.0</v>
      </c>
      <c r="I6" s="7">
        <v>16.0</v>
      </c>
      <c r="J6" s="7">
        <v>14.0</v>
      </c>
      <c r="K6" s="3"/>
      <c r="L6" s="7">
        <v>5.0</v>
      </c>
      <c r="M6" s="7">
        <v>8.0</v>
      </c>
      <c r="N6" s="7">
        <v>7.0</v>
      </c>
      <c r="O6" s="7">
        <v>5.0</v>
      </c>
      <c r="P6" s="3"/>
    </row>
    <row r="7">
      <c r="B7" s="7">
        <v>15.0</v>
      </c>
      <c r="C7" s="7">
        <v>32.0</v>
      </c>
      <c r="D7" s="7">
        <v>26.0</v>
      </c>
      <c r="E7" s="7">
        <v>25.0</v>
      </c>
      <c r="F7" s="3"/>
      <c r="G7" s="7">
        <v>10.0</v>
      </c>
      <c r="H7" s="7">
        <v>23.0</v>
      </c>
      <c r="I7" s="7">
        <v>15.0</v>
      </c>
      <c r="J7" s="7">
        <v>15.0</v>
      </c>
      <c r="K7" s="3"/>
      <c r="L7" s="7">
        <v>5.0</v>
      </c>
      <c r="M7" s="7">
        <v>8.0</v>
      </c>
      <c r="N7" s="7">
        <v>7.0</v>
      </c>
      <c r="O7" s="7">
        <v>5.0</v>
      </c>
      <c r="P7" s="3"/>
    </row>
    <row r="8">
      <c r="B8" s="7">
        <v>17.0</v>
      </c>
      <c r="C8" s="7">
        <v>39.0</v>
      </c>
      <c r="D8" s="7">
        <v>25.0</v>
      </c>
      <c r="E8" s="7">
        <v>22.0</v>
      </c>
      <c r="F8" s="3"/>
      <c r="G8" s="7">
        <v>10.0</v>
      </c>
      <c r="H8" s="7">
        <v>23.0</v>
      </c>
      <c r="I8" s="7">
        <v>15.0</v>
      </c>
      <c r="J8" s="7">
        <v>15.0</v>
      </c>
      <c r="K8" s="3"/>
      <c r="L8" s="7">
        <v>5.0</v>
      </c>
      <c r="M8" s="7">
        <v>8.0</v>
      </c>
      <c r="N8" s="7">
        <v>6.0</v>
      </c>
      <c r="O8" s="7">
        <v>6.0</v>
      </c>
      <c r="P8" s="3"/>
    </row>
    <row r="9">
      <c r="B9" s="7">
        <v>16.0</v>
      </c>
      <c r="C9" s="7">
        <v>27.0</v>
      </c>
      <c r="D9" s="7">
        <v>24.0</v>
      </c>
      <c r="E9" s="7">
        <v>25.0</v>
      </c>
      <c r="F9" s="3"/>
      <c r="G9" s="7">
        <v>11.0</v>
      </c>
      <c r="H9" s="7">
        <v>14.0</v>
      </c>
      <c r="I9" s="7">
        <v>15.0</v>
      </c>
      <c r="J9" s="7">
        <v>15.0</v>
      </c>
      <c r="K9" s="3"/>
      <c r="L9" s="7">
        <v>4.0</v>
      </c>
      <c r="M9" s="7">
        <v>8.0</v>
      </c>
      <c r="N9" s="7">
        <v>7.0</v>
      </c>
      <c r="O9" s="7">
        <v>6.0</v>
      </c>
      <c r="P9" s="3"/>
    </row>
    <row r="10">
      <c r="B10" s="7">
        <v>15.0</v>
      </c>
      <c r="C10" s="7">
        <v>25.0</v>
      </c>
      <c r="D10" s="7">
        <v>25.0</v>
      </c>
      <c r="E10" s="7">
        <v>18.0</v>
      </c>
      <c r="F10" s="3"/>
      <c r="G10" s="7">
        <v>10.0</v>
      </c>
      <c r="H10" s="7">
        <v>17.0</v>
      </c>
      <c r="I10" s="7">
        <v>14.0</v>
      </c>
      <c r="J10" s="7">
        <v>14.0</v>
      </c>
      <c r="K10" s="3"/>
      <c r="L10" s="7">
        <v>5.0</v>
      </c>
      <c r="M10" s="7">
        <v>9.0</v>
      </c>
      <c r="N10" s="7">
        <v>7.0</v>
      </c>
      <c r="O10" s="7">
        <v>5.0</v>
      </c>
      <c r="P10" s="3"/>
    </row>
    <row r="11">
      <c r="B11" s="7">
        <v>16.0</v>
      </c>
      <c r="C11" s="7">
        <v>27.0</v>
      </c>
      <c r="D11" s="7">
        <v>27.0</v>
      </c>
      <c r="E11" s="7">
        <v>28.0</v>
      </c>
      <c r="F11" s="3"/>
      <c r="G11" s="7">
        <v>11.0</v>
      </c>
      <c r="H11" s="7">
        <v>19.0</v>
      </c>
      <c r="I11" s="7">
        <v>15.0</v>
      </c>
      <c r="J11" s="7">
        <v>14.0</v>
      </c>
      <c r="K11" s="3"/>
      <c r="L11" s="7">
        <v>4.0</v>
      </c>
      <c r="M11" s="7">
        <v>13.0</v>
      </c>
      <c r="N11" s="7">
        <v>7.0</v>
      </c>
      <c r="O11" s="7">
        <v>6.0</v>
      </c>
      <c r="P11" s="3"/>
    </row>
    <row r="12">
      <c r="B12" s="7">
        <v>14.0</v>
      </c>
      <c r="C12" s="7">
        <v>25.0</v>
      </c>
      <c r="D12" s="7">
        <v>26.0</v>
      </c>
      <c r="E12" s="7">
        <v>25.0</v>
      </c>
      <c r="F12" s="3"/>
      <c r="G12" s="7">
        <v>10.0</v>
      </c>
      <c r="H12" s="7">
        <v>17.0</v>
      </c>
      <c r="I12" s="7">
        <v>17.0</v>
      </c>
      <c r="J12" s="7">
        <v>14.0</v>
      </c>
      <c r="K12" s="3"/>
      <c r="L12" s="7">
        <v>4.0</v>
      </c>
      <c r="M12" s="7">
        <v>11.0</v>
      </c>
      <c r="N12" s="7">
        <v>6.0</v>
      </c>
      <c r="O12" s="7">
        <v>5.0</v>
      </c>
      <c r="P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9" t="s">
        <v>8</v>
      </c>
      <c r="B14" s="7">
        <v>17.0</v>
      </c>
      <c r="C14" s="7">
        <v>30.0</v>
      </c>
      <c r="D14" s="7">
        <v>27.0</v>
      </c>
      <c r="E14" s="7">
        <v>27.0</v>
      </c>
      <c r="F14" s="3"/>
      <c r="G14" s="7">
        <v>11.0</v>
      </c>
      <c r="H14" s="7">
        <v>14.0</v>
      </c>
      <c r="I14" s="7">
        <v>17.0</v>
      </c>
      <c r="J14" s="7">
        <v>14.0</v>
      </c>
      <c r="K14" s="3"/>
      <c r="L14" s="7">
        <v>5.0</v>
      </c>
      <c r="M14" s="7">
        <v>15.0</v>
      </c>
      <c r="N14" s="7">
        <v>6.0</v>
      </c>
      <c r="O14" s="7">
        <v>6.0</v>
      </c>
      <c r="P14" s="3"/>
    </row>
    <row r="15">
      <c r="B15" s="7">
        <v>15.0</v>
      </c>
      <c r="C15" s="7">
        <v>30.0</v>
      </c>
      <c r="D15" s="7">
        <v>26.0</v>
      </c>
      <c r="E15" s="7">
        <v>27.0</v>
      </c>
      <c r="F15" s="3"/>
      <c r="G15" s="7">
        <v>9.0</v>
      </c>
      <c r="H15" s="7">
        <v>21.0</v>
      </c>
      <c r="I15" s="7">
        <v>14.0</v>
      </c>
      <c r="J15" s="7">
        <v>12.0</v>
      </c>
      <c r="K15" s="3"/>
      <c r="L15" s="7">
        <v>5.0</v>
      </c>
      <c r="M15" s="7">
        <v>9.0</v>
      </c>
      <c r="N15" s="7">
        <v>6.0</v>
      </c>
      <c r="O15" s="7">
        <v>5.0</v>
      </c>
      <c r="P15" s="3"/>
    </row>
    <row r="16">
      <c r="B16" s="7">
        <v>16.0</v>
      </c>
      <c r="C16" s="7">
        <v>24.0</v>
      </c>
      <c r="D16" s="7">
        <v>26.0</v>
      </c>
      <c r="E16" s="7">
        <v>28.0</v>
      </c>
      <c r="F16" s="3"/>
      <c r="G16" s="7">
        <v>9.0</v>
      </c>
      <c r="H16" s="7">
        <v>18.0</v>
      </c>
      <c r="I16" s="7">
        <v>16.0</v>
      </c>
      <c r="J16" s="7">
        <v>12.0</v>
      </c>
      <c r="K16" s="3"/>
      <c r="L16" s="7">
        <v>5.0</v>
      </c>
      <c r="M16" s="7">
        <v>8.0</v>
      </c>
      <c r="N16" s="7">
        <v>7.0</v>
      </c>
      <c r="O16" s="7">
        <v>5.0</v>
      </c>
      <c r="P16" s="3"/>
    </row>
    <row r="17">
      <c r="B17" s="7">
        <v>17.0</v>
      </c>
      <c r="C17" s="7">
        <v>28.0</v>
      </c>
      <c r="D17" s="7">
        <v>25.0</v>
      </c>
      <c r="E17" s="7">
        <v>25.0</v>
      </c>
      <c r="F17" s="3"/>
      <c r="G17" s="7">
        <v>10.0</v>
      </c>
      <c r="H17" s="7">
        <v>22.0</v>
      </c>
      <c r="I17" s="7">
        <v>17.0</v>
      </c>
      <c r="J17" s="7">
        <v>14.0</v>
      </c>
      <c r="K17" s="3"/>
      <c r="L17" s="7">
        <v>5.0</v>
      </c>
      <c r="M17" s="7">
        <v>11.0</v>
      </c>
      <c r="N17" s="7">
        <v>7.0</v>
      </c>
      <c r="O17" s="7">
        <v>6.0</v>
      </c>
      <c r="P17" s="3"/>
    </row>
    <row r="18">
      <c r="B18" s="7">
        <v>17.0</v>
      </c>
      <c r="C18" s="7">
        <v>28.0</v>
      </c>
      <c r="D18" s="7">
        <v>26.0</v>
      </c>
      <c r="E18" s="7">
        <v>27.0</v>
      </c>
      <c r="F18" s="3"/>
      <c r="G18" s="7">
        <v>9.0</v>
      </c>
      <c r="H18" s="7">
        <v>27.0</v>
      </c>
      <c r="I18" s="7">
        <v>14.0</v>
      </c>
      <c r="J18" s="7">
        <v>15.0</v>
      </c>
      <c r="K18" s="3"/>
      <c r="L18" s="7">
        <v>5.0</v>
      </c>
      <c r="M18" s="7">
        <v>8.0</v>
      </c>
      <c r="N18" s="7">
        <v>7.0</v>
      </c>
      <c r="O18" s="7">
        <v>5.0</v>
      </c>
      <c r="P18" s="3"/>
    </row>
    <row r="19">
      <c r="B19" s="7">
        <v>16.0</v>
      </c>
      <c r="C19" s="7">
        <v>31.0</v>
      </c>
      <c r="D19" s="7">
        <v>26.0</v>
      </c>
      <c r="E19" s="7">
        <v>18.0</v>
      </c>
      <c r="F19" s="3"/>
      <c r="G19" s="7">
        <v>11.0</v>
      </c>
      <c r="H19" s="7">
        <v>17.0</v>
      </c>
      <c r="I19" s="7">
        <v>17.0</v>
      </c>
      <c r="J19" s="7">
        <v>12.0</v>
      </c>
      <c r="K19" s="3"/>
      <c r="L19" s="7">
        <v>4.0</v>
      </c>
      <c r="M19" s="7">
        <v>11.0</v>
      </c>
      <c r="N19" s="7">
        <v>6.0</v>
      </c>
      <c r="O19" s="7">
        <v>5.0</v>
      </c>
      <c r="P19" s="3"/>
    </row>
    <row r="20">
      <c r="B20" s="7">
        <v>14.0</v>
      </c>
      <c r="C20" s="7">
        <v>25.0</v>
      </c>
      <c r="D20" s="7">
        <v>25.0</v>
      </c>
      <c r="E20" s="7">
        <v>27.0</v>
      </c>
      <c r="F20" s="3"/>
      <c r="G20" s="7">
        <v>11.0</v>
      </c>
      <c r="H20" s="7">
        <v>18.0</v>
      </c>
      <c r="I20" s="7">
        <v>17.0</v>
      </c>
      <c r="J20" s="7">
        <v>14.0</v>
      </c>
      <c r="K20" s="3"/>
      <c r="L20" s="7">
        <v>5.0</v>
      </c>
      <c r="M20" s="7">
        <v>7.0</v>
      </c>
      <c r="N20" s="7">
        <v>6.0</v>
      </c>
      <c r="O20" s="7">
        <v>6.0</v>
      </c>
      <c r="P20" s="3"/>
    </row>
    <row r="21">
      <c r="B21" s="7">
        <v>15.0</v>
      </c>
      <c r="C21" s="7">
        <v>25.0</v>
      </c>
      <c r="D21" s="7">
        <v>26.0</v>
      </c>
      <c r="E21" s="7">
        <v>28.0</v>
      </c>
      <c r="F21" s="3"/>
      <c r="G21" s="7">
        <v>7.0</v>
      </c>
      <c r="H21" s="7">
        <v>15.0</v>
      </c>
      <c r="I21" s="7">
        <v>15.0</v>
      </c>
      <c r="J21" s="7">
        <v>9.0</v>
      </c>
      <c r="K21" s="3"/>
      <c r="L21" s="7">
        <v>5.0</v>
      </c>
      <c r="M21" s="7">
        <v>8.0</v>
      </c>
      <c r="N21" s="7">
        <v>7.0</v>
      </c>
      <c r="O21" s="7">
        <v>5.0</v>
      </c>
      <c r="P21" s="3"/>
    </row>
    <row r="22">
      <c r="B22" s="7">
        <v>15.0</v>
      </c>
      <c r="C22" s="7">
        <v>30.0</v>
      </c>
      <c r="D22" s="7">
        <v>27.0</v>
      </c>
      <c r="E22" s="7">
        <v>18.0</v>
      </c>
      <c r="F22" s="3"/>
      <c r="G22" s="7">
        <v>9.0</v>
      </c>
      <c r="H22" s="7">
        <v>28.0</v>
      </c>
      <c r="I22" s="7">
        <v>17.0</v>
      </c>
      <c r="J22" s="7">
        <v>14.0</v>
      </c>
      <c r="K22" s="3"/>
      <c r="L22" s="7">
        <v>5.0</v>
      </c>
      <c r="M22" s="7">
        <v>9.0</v>
      </c>
      <c r="N22" s="7">
        <v>6.0</v>
      </c>
      <c r="O22" s="7">
        <v>6.0</v>
      </c>
      <c r="P22" s="3"/>
    </row>
    <row r="23">
      <c r="B23" s="7">
        <v>17.0</v>
      </c>
      <c r="C23" s="7">
        <v>24.0</v>
      </c>
      <c r="D23" s="7">
        <v>29.0</v>
      </c>
      <c r="E23" s="7">
        <v>25.0</v>
      </c>
      <c r="F23" s="3"/>
      <c r="G23" s="7">
        <v>9.0</v>
      </c>
      <c r="H23" s="7">
        <v>28.0</v>
      </c>
      <c r="I23" s="7">
        <v>15.0</v>
      </c>
      <c r="J23" s="7">
        <v>14.0</v>
      </c>
      <c r="K23" s="3"/>
      <c r="L23" s="7">
        <v>5.0</v>
      </c>
      <c r="M23" s="7">
        <v>12.0</v>
      </c>
      <c r="N23" s="7">
        <v>7.0</v>
      </c>
      <c r="O23" s="7">
        <v>6.0</v>
      </c>
      <c r="P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10" t="s">
        <v>9</v>
      </c>
      <c r="B25" s="7">
        <v>15.0</v>
      </c>
      <c r="C25" s="7">
        <v>32.0</v>
      </c>
      <c r="D25" s="7">
        <v>27.0</v>
      </c>
      <c r="E25" s="7">
        <v>22.0</v>
      </c>
      <c r="F25" s="3"/>
      <c r="G25" s="7">
        <v>9.0</v>
      </c>
      <c r="H25" s="7">
        <v>22.0</v>
      </c>
      <c r="I25" s="7">
        <v>15.0</v>
      </c>
      <c r="J25" s="7">
        <v>14.0</v>
      </c>
      <c r="K25" s="3"/>
      <c r="L25" s="7">
        <v>5.0</v>
      </c>
      <c r="M25" s="7">
        <v>8.0</v>
      </c>
      <c r="N25" s="7">
        <v>7.0</v>
      </c>
      <c r="O25" s="7">
        <v>6.0</v>
      </c>
      <c r="P25" s="3"/>
    </row>
    <row r="26">
      <c r="B26" s="7">
        <v>15.0</v>
      </c>
      <c r="C26" s="7">
        <v>56.0</v>
      </c>
      <c r="D26" s="7">
        <v>26.0</v>
      </c>
      <c r="E26" s="7">
        <v>27.0</v>
      </c>
      <c r="F26" s="3"/>
      <c r="G26" s="7">
        <v>9.0</v>
      </c>
      <c r="H26" s="7">
        <v>16.0</v>
      </c>
      <c r="I26" s="7">
        <v>14.0</v>
      </c>
      <c r="J26" s="7">
        <v>15.0</v>
      </c>
      <c r="K26" s="3"/>
      <c r="L26" s="7">
        <v>5.0</v>
      </c>
      <c r="M26" s="7">
        <v>7.0</v>
      </c>
      <c r="N26" s="7">
        <v>7.0</v>
      </c>
      <c r="O26" s="7">
        <v>6.0</v>
      </c>
      <c r="P26" s="3"/>
    </row>
    <row r="27">
      <c r="B27" s="7">
        <v>15.0</v>
      </c>
      <c r="C27" s="7">
        <v>40.0</v>
      </c>
      <c r="D27" s="7">
        <v>27.0</v>
      </c>
      <c r="E27" s="7">
        <v>25.0</v>
      </c>
      <c r="F27" s="3"/>
      <c r="G27" s="7">
        <v>10.0</v>
      </c>
      <c r="H27" s="7">
        <v>18.0</v>
      </c>
      <c r="I27" s="7">
        <v>14.0</v>
      </c>
      <c r="J27" s="7">
        <v>14.0</v>
      </c>
      <c r="K27" s="3"/>
      <c r="L27" s="7">
        <v>4.0</v>
      </c>
      <c r="M27" s="7">
        <v>9.0</v>
      </c>
      <c r="N27" s="7">
        <v>6.0</v>
      </c>
      <c r="O27" s="7">
        <v>6.0</v>
      </c>
      <c r="P27" s="3"/>
    </row>
    <row r="28">
      <c r="B28" s="7">
        <v>15.0</v>
      </c>
      <c r="C28" s="7">
        <v>29.0</v>
      </c>
      <c r="D28" s="7">
        <v>27.0</v>
      </c>
      <c r="E28" s="7">
        <v>25.0</v>
      </c>
      <c r="F28" s="3"/>
      <c r="G28" s="7">
        <v>11.0</v>
      </c>
      <c r="H28" s="7">
        <v>15.0</v>
      </c>
      <c r="I28" s="7">
        <v>14.0</v>
      </c>
      <c r="J28" s="7">
        <v>12.0</v>
      </c>
      <c r="K28" s="3"/>
      <c r="L28" s="7">
        <v>4.0</v>
      </c>
      <c r="M28" s="7">
        <v>7.0</v>
      </c>
      <c r="N28" s="7">
        <v>7.0</v>
      </c>
      <c r="O28" s="7">
        <v>3.0</v>
      </c>
      <c r="P28" s="3"/>
    </row>
    <row r="29">
      <c r="B29" s="7">
        <v>17.0</v>
      </c>
      <c r="C29" s="7">
        <v>28.0</v>
      </c>
      <c r="D29" s="7">
        <v>27.0</v>
      </c>
      <c r="E29" s="7">
        <v>27.0</v>
      </c>
      <c r="F29" s="3"/>
      <c r="G29" s="7">
        <v>9.0</v>
      </c>
      <c r="H29" s="7">
        <v>26.0</v>
      </c>
      <c r="I29" s="7">
        <v>16.0</v>
      </c>
      <c r="J29" s="7">
        <v>15.0</v>
      </c>
      <c r="K29" s="3"/>
      <c r="L29" s="7">
        <v>4.0</v>
      </c>
      <c r="M29" s="7">
        <v>8.0</v>
      </c>
      <c r="N29" s="7">
        <v>7.0</v>
      </c>
      <c r="O29" s="7">
        <v>6.0</v>
      </c>
      <c r="P29" s="3"/>
    </row>
    <row r="30">
      <c r="B30" s="7">
        <v>17.0</v>
      </c>
      <c r="C30" s="7">
        <v>28.0</v>
      </c>
      <c r="D30" s="7">
        <v>27.0</v>
      </c>
      <c r="E30" s="7">
        <v>25.0</v>
      </c>
      <c r="F30" s="3"/>
      <c r="G30" s="7">
        <v>9.0</v>
      </c>
      <c r="H30" s="7">
        <v>23.0</v>
      </c>
      <c r="I30" s="7">
        <v>15.0</v>
      </c>
      <c r="J30" s="7">
        <v>15.0</v>
      </c>
      <c r="K30" s="3"/>
      <c r="L30" s="7">
        <v>5.0</v>
      </c>
      <c r="M30" s="7">
        <v>15.0</v>
      </c>
      <c r="N30" s="7">
        <v>6.0</v>
      </c>
      <c r="O30" s="7">
        <v>6.0</v>
      </c>
      <c r="P30" s="3"/>
    </row>
    <row r="31">
      <c r="B31" s="7">
        <v>15.0</v>
      </c>
      <c r="C31" s="7">
        <v>32.0</v>
      </c>
      <c r="D31" s="7">
        <v>26.0</v>
      </c>
      <c r="E31" s="7">
        <v>22.0</v>
      </c>
      <c r="F31" s="3"/>
      <c r="G31" s="7">
        <v>10.0</v>
      </c>
      <c r="H31" s="7">
        <v>26.0</v>
      </c>
      <c r="I31" s="7">
        <v>15.0</v>
      </c>
      <c r="J31" s="7">
        <v>14.0</v>
      </c>
      <c r="K31" s="3"/>
      <c r="L31" s="7">
        <v>5.0</v>
      </c>
      <c r="M31" s="7">
        <v>10.0</v>
      </c>
      <c r="N31" s="7">
        <v>6.0</v>
      </c>
      <c r="O31" s="7">
        <v>6.0</v>
      </c>
      <c r="P31" s="3"/>
    </row>
    <row r="32">
      <c r="B32" s="7">
        <v>16.0</v>
      </c>
      <c r="C32" s="7">
        <v>23.0</v>
      </c>
      <c r="D32" s="7">
        <v>26.0</v>
      </c>
      <c r="E32" s="7">
        <v>25.0</v>
      </c>
      <c r="F32" s="3"/>
      <c r="G32" s="7">
        <v>8.0</v>
      </c>
      <c r="H32" s="7">
        <v>21.0</v>
      </c>
      <c r="I32" s="7">
        <v>14.0</v>
      </c>
      <c r="J32" s="7">
        <v>14.0</v>
      </c>
      <c r="K32" s="3"/>
      <c r="L32" s="7">
        <v>4.0</v>
      </c>
      <c r="M32" s="7">
        <v>11.0</v>
      </c>
      <c r="N32" s="7">
        <v>6.0</v>
      </c>
      <c r="O32" s="7">
        <v>5.0</v>
      </c>
      <c r="P32" s="3"/>
    </row>
    <row r="33">
      <c r="B33" s="7">
        <v>16.0</v>
      </c>
      <c r="C33" s="7">
        <v>30.0</v>
      </c>
      <c r="D33" s="7">
        <v>26.0</v>
      </c>
      <c r="E33" s="7">
        <v>25.0</v>
      </c>
      <c r="F33" s="3"/>
      <c r="G33" s="7">
        <v>10.0</v>
      </c>
      <c r="H33" s="7">
        <v>18.0</v>
      </c>
      <c r="I33" s="7">
        <v>15.0</v>
      </c>
      <c r="J33" s="7">
        <v>12.0</v>
      </c>
      <c r="K33" s="3"/>
      <c r="L33" s="7">
        <v>5.0</v>
      </c>
      <c r="M33" s="7">
        <v>12.0</v>
      </c>
      <c r="N33" s="7">
        <v>6.0</v>
      </c>
      <c r="O33" s="7">
        <v>6.0</v>
      </c>
      <c r="P33" s="3"/>
    </row>
    <row r="34">
      <c r="B34" s="7">
        <v>17.0</v>
      </c>
      <c r="C34" s="7">
        <v>30.0</v>
      </c>
      <c r="D34" s="7">
        <v>27.0</v>
      </c>
      <c r="E34" s="7">
        <v>25.0</v>
      </c>
      <c r="F34" s="3"/>
      <c r="G34" s="7">
        <v>10.0</v>
      </c>
      <c r="H34" s="7">
        <v>17.0</v>
      </c>
      <c r="I34" s="7">
        <v>17.0</v>
      </c>
      <c r="J34" s="7">
        <v>15.0</v>
      </c>
      <c r="K34" s="3"/>
      <c r="L34" s="7">
        <v>5.0</v>
      </c>
      <c r="M34" s="7">
        <v>11.0</v>
      </c>
      <c r="N34" s="7">
        <v>7.0</v>
      </c>
      <c r="O34" s="7">
        <v>6.0</v>
      </c>
      <c r="P34" s="3"/>
    </row>
    <row r="35">
      <c r="A35" s="3"/>
      <c r="B35" s="6"/>
      <c r="C35" s="6"/>
      <c r="D35" s="6"/>
      <c r="E35" s="6"/>
      <c r="F35" s="3"/>
      <c r="G35" s="6"/>
      <c r="H35" s="6"/>
      <c r="I35" s="6"/>
      <c r="J35" s="6"/>
      <c r="K35" s="3"/>
      <c r="L35" s="6"/>
      <c r="M35" s="6"/>
      <c r="N35" s="6"/>
      <c r="O35" s="6"/>
      <c r="P35" s="3"/>
    </row>
    <row r="36">
      <c r="A36" s="11"/>
      <c r="B36" s="11"/>
      <c r="C36" s="11"/>
      <c r="D36" s="11"/>
      <c r="E36" s="11"/>
      <c r="F36" s="12"/>
      <c r="G36" s="11"/>
      <c r="H36" s="11"/>
      <c r="I36" s="11"/>
      <c r="J36" s="11"/>
      <c r="K36" s="12"/>
      <c r="L36" s="11"/>
      <c r="M36" s="11"/>
      <c r="N36" s="11"/>
      <c r="O36" s="11"/>
      <c r="P36" s="12"/>
    </row>
    <row r="37">
      <c r="A37" s="11"/>
      <c r="B37" s="2" t="s">
        <v>0</v>
      </c>
      <c r="F37" s="12"/>
      <c r="G37" s="4" t="s">
        <v>1</v>
      </c>
      <c r="K37" s="12"/>
      <c r="L37" s="5" t="s">
        <v>2</v>
      </c>
      <c r="P37" s="12"/>
    </row>
    <row r="38">
      <c r="A38" s="12"/>
      <c r="B38" s="7" t="s">
        <v>3</v>
      </c>
      <c r="C38" s="7" t="s">
        <v>4</v>
      </c>
      <c r="D38" s="7" t="s">
        <v>5</v>
      </c>
      <c r="E38" s="7" t="s">
        <v>6</v>
      </c>
      <c r="F38" s="12"/>
      <c r="G38" s="7" t="s">
        <v>3</v>
      </c>
      <c r="H38" s="7" t="s">
        <v>4</v>
      </c>
      <c r="I38" s="7" t="s">
        <v>5</v>
      </c>
      <c r="J38" s="7" t="s">
        <v>6</v>
      </c>
      <c r="K38" s="12"/>
      <c r="L38" s="7" t="s">
        <v>3</v>
      </c>
      <c r="M38" s="7" t="s">
        <v>4</v>
      </c>
      <c r="N38" s="7" t="s">
        <v>5</v>
      </c>
      <c r="O38" s="7" t="s">
        <v>6</v>
      </c>
      <c r="P38" s="12"/>
    </row>
    <row r="39">
      <c r="A39" s="13" t="s">
        <v>10</v>
      </c>
      <c r="B39" s="14">
        <f t="shared" ref="B39:E39" si="1">AVERAGE(B3:B12, B14:B23, B25:B34)</f>
        <v>15.8</v>
      </c>
      <c r="C39" s="14">
        <f t="shared" si="1"/>
        <v>29.9</v>
      </c>
      <c r="D39" s="14">
        <f t="shared" si="1"/>
        <v>26.23333333</v>
      </c>
      <c r="E39" s="14">
        <f t="shared" si="1"/>
        <v>24.6</v>
      </c>
      <c r="F39" s="12"/>
      <c r="G39" s="14">
        <f t="shared" ref="G39:J39" si="2">AVERAGE(G3:G12, G14:G23, G25:G34)</f>
        <v>9.633333333</v>
      </c>
      <c r="H39" s="14">
        <f t="shared" si="2"/>
        <v>20.1</v>
      </c>
      <c r="I39" s="14">
        <f t="shared" si="2"/>
        <v>15.43333333</v>
      </c>
      <c r="J39" s="14">
        <f t="shared" si="2"/>
        <v>13.8</v>
      </c>
      <c r="K39" s="12"/>
      <c r="L39" s="14">
        <f t="shared" ref="L39:O39" si="3">AVERAGE(L3:L12, L14:L23, L25:L34)</f>
        <v>4.733333333</v>
      </c>
      <c r="M39" s="14">
        <f t="shared" si="3"/>
        <v>9.933333333</v>
      </c>
      <c r="N39" s="14">
        <f t="shared" si="3"/>
        <v>6.533333333</v>
      </c>
      <c r="O39" s="14">
        <f t="shared" si="3"/>
        <v>5.566666667</v>
      </c>
      <c r="P39" s="12"/>
    </row>
    <row r="40">
      <c r="A40" s="15" t="s">
        <v>11</v>
      </c>
      <c r="B40" s="16">
        <f t="shared" ref="B40:E40" si="4">_xlfn.STDEV.S(B3:B12, B14:B23, B25:B34)</f>
        <v>0.9613209303</v>
      </c>
      <c r="C40" s="16">
        <f t="shared" si="4"/>
        <v>6.49854095</v>
      </c>
      <c r="D40" s="16">
        <f t="shared" si="4"/>
        <v>0.9714309862</v>
      </c>
      <c r="E40" s="16">
        <f t="shared" si="4"/>
        <v>2.811307218</v>
      </c>
      <c r="F40" s="12"/>
      <c r="G40" s="16">
        <f t="shared" ref="G40:J40" si="5">_xlfn.STDEV.S(G3:G12, G14:G23, G25:G34)</f>
        <v>0.9994251221</v>
      </c>
      <c r="H40" s="16">
        <f t="shared" si="5"/>
        <v>4.196468137</v>
      </c>
      <c r="I40" s="16">
        <f t="shared" si="5"/>
        <v>1.13512367</v>
      </c>
      <c r="J40" s="16">
        <f t="shared" si="5"/>
        <v>1.349329335</v>
      </c>
      <c r="K40" s="12"/>
      <c r="L40" s="16">
        <f t="shared" ref="L40:O40" si="6">_xlfn.STDEV.S(L3:L12, L14:L23, L25:L34)</f>
        <v>0.4497764451</v>
      </c>
      <c r="M40" s="16">
        <f t="shared" si="6"/>
        <v>2.405931368</v>
      </c>
      <c r="N40" s="16">
        <f t="shared" si="6"/>
        <v>0.5074162634</v>
      </c>
      <c r="O40" s="16">
        <f t="shared" si="6"/>
        <v>0.6789105539</v>
      </c>
      <c r="P40" s="12"/>
    </row>
    <row r="41">
      <c r="A41" s="15" t="s">
        <v>12</v>
      </c>
      <c r="B41" s="14">
        <f t="shared" ref="B41:E41" si="7">(B40/B39)*100</f>
        <v>6.084309685</v>
      </c>
      <c r="C41" s="14">
        <f t="shared" si="7"/>
        <v>21.73425067</v>
      </c>
      <c r="D41" s="14">
        <f t="shared" si="7"/>
        <v>3.703040608</v>
      </c>
      <c r="E41" s="14">
        <f t="shared" si="7"/>
        <v>11.42807812</v>
      </c>
      <c r="F41" s="17"/>
      <c r="G41" s="14">
        <f t="shared" ref="G41:J41" si="8">(G40/G39)*100</f>
        <v>10.37465525</v>
      </c>
      <c r="H41" s="14">
        <f t="shared" si="8"/>
        <v>20.87795093</v>
      </c>
      <c r="I41" s="14">
        <f t="shared" si="8"/>
        <v>7.355012983</v>
      </c>
      <c r="J41" s="14">
        <f t="shared" si="8"/>
        <v>9.777748807</v>
      </c>
      <c r="K41" s="17"/>
      <c r="L41" s="14">
        <f t="shared" ref="L41:O41" si="9">(L40/L39)*100</f>
        <v>9.502319263</v>
      </c>
      <c r="M41" s="14">
        <f t="shared" si="9"/>
        <v>24.22078558</v>
      </c>
      <c r="N41" s="14">
        <f t="shared" si="9"/>
        <v>7.76657546</v>
      </c>
      <c r="O41" s="14">
        <f t="shared" si="9"/>
        <v>12.19599797</v>
      </c>
      <c r="P41" s="12"/>
    </row>
    <row r="42">
      <c r="A42" s="12"/>
      <c r="B42" s="2" t="s">
        <v>13</v>
      </c>
      <c r="F42" s="12"/>
      <c r="G42" s="4" t="s">
        <v>14</v>
      </c>
      <c r="K42" s="12"/>
      <c r="L42" s="5" t="s">
        <v>15</v>
      </c>
      <c r="P42" s="12"/>
    </row>
    <row r="43">
      <c r="A43" s="15" t="s">
        <v>16</v>
      </c>
      <c r="B43" s="14">
        <f t="shared" ref="B43:E43" si="10">B39/G39</f>
        <v>1.640138408</v>
      </c>
      <c r="C43" s="14">
        <f t="shared" si="10"/>
        <v>1.487562189</v>
      </c>
      <c r="D43" s="14">
        <f t="shared" si="10"/>
        <v>1.699784017</v>
      </c>
      <c r="E43" s="14">
        <f t="shared" si="10"/>
        <v>1.782608696</v>
      </c>
      <c r="F43" s="18"/>
      <c r="G43" s="14">
        <f t="shared" ref="G43:J43" si="11">G39/L39</f>
        <v>2.035211268</v>
      </c>
      <c r="H43" s="14">
        <f t="shared" si="11"/>
        <v>2.023489933</v>
      </c>
      <c r="I43" s="14">
        <f t="shared" si="11"/>
        <v>2.362244898</v>
      </c>
      <c r="J43" s="14">
        <f t="shared" si="11"/>
        <v>2.479041916</v>
      </c>
      <c r="K43" s="18"/>
      <c r="L43" s="14">
        <f t="shared" ref="L43:O43" si="12">B39/L39</f>
        <v>3.338028169</v>
      </c>
      <c r="M43" s="14">
        <f t="shared" si="12"/>
        <v>3.010067114</v>
      </c>
      <c r="N43" s="14">
        <f t="shared" si="12"/>
        <v>4.015306122</v>
      </c>
      <c r="O43" s="14">
        <f t="shared" si="12"/>
        <v>4.419161677</v>
      </c>
      <c r="P43" s="12"/>
    </row>
    <row r="44">
      <c r="A44" s="15" t="s">
        <v>17</v>
      </c>
      <c r="B44" s="14">
        <f t="shared" ref="B44:E44" si="13">B39/8</f>
        <v>1.975</v>
      </c>
      <c r="C44" s="14">
        <f t="shared" si="13"/>
        <v>3.7375</v>
      </c>
      <c r="D44" s="14">
        <f t="shared" si="13"/>
        <v>3.279166667</v>
      </c>
      <c r="E44" s="14">
        <f t="shared" si="13"/>
        <v>3.075</v>
      </c>
      <c r="F44" s="17"/>
      <c r="G44" s="14">
        <f t="shared" ref="G44:J44" si="14">G39/6</f>
        <v>1.605555556</v>
      </c>
      <c r="H44" s="14">
        <f t="shared" si="14"/>
        <v>3.35</v>
      </c>
      <c r="I44" s="14">
        <f t="shared" si="14"/>
        <v>2.572222222</v>
      </c>
      <c r="J44" s="14">
        <f t="shared" si="14"/>
        <v>2.3</v>
      </c>
      <c r="K44" s="17"/>
      <c r="L44" s="14">
        <f t="shared" ref="L44:O44" si="15">L39/4</f>
        <v>1.183333333</v>
      </c>
      <c r="M44" s="14">
        <f t="shared" si="15"/>
        <v>2.483333333</v>
      </c>
      <c r="N44" s="14">
        <f t="shared" si="15"/>
        <v>1.633333333</v>
      </c>
      <c r="O44" s="14">
        <f t="shared" si="15"/>
        <v>1.391666667</v>
      </c>
      <c r="P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8">
      <c r="E48" s="16"/>
    </row>
    <row r="49">
      <c r="B49" s="16"/>
    </row>
    <row r="51">
      <c r="B51" s="16"/>
    </row>
  </sheetData>
  <mergeCells count="12">
    <mergeCell ref="G42:J42"/>
    <mergeCell ref="L42:O42"/>
    <mergeCell ref="B37:E37"/>
    <mergeCell ref="G37:J37"/>
    <mergeCell ref="B1:E1"/>
    <mergeCell ref="G1:J1"/>
    <mergeCell ref="L1:O1"/>
    <mergeCell ref="A3:A12"/>
    <mergeCell ref="A14:A23"/>
    <mergeCell ref="A25:A34"/>
    <mergeCell ref="B42:E42"/>
    <mergeCell ref="L37:O37"/>
  </mergeCells>
  <drawing r:id="rId1"/>
</worksheet>
</file>